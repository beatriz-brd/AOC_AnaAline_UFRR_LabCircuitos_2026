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struções" sheetId="1" state="visible" r:id="rId3"/>
    <sheet name="Traço Principal" sheetId="2" state="visible" r:id="rId4"/>
    <sheet name="Teste de Conflito" sheetId="3" state="visible" r:id="rId5"/>
    <sheet name="Resum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<sst xmlns="http://schemas.openxmlformats.org/spreadsheetml/2006/main" count="121" uniqueCount="78">
  <si>
    <t xml:space="preserve">MODELO PARA PREENCHIMENTO — Planilha de acertos e faltas</t>
  </si>
  <si>
    <t xml:space="preserve">AOC — Laboratório de Circuitos — Versão Introdutória — Parte I (Seção 5.5 do enunciado)</t>
  </si>
  <si>
    <t xml:space="preserve">COMO PREENCHER</t>
  </si>
  <si>
    <t xml:space="preserve">1. As células em AMARELO são as que você deve preencher. As células em AZUL contêm os dados</t>
  </si>
  <si>
    <t xml:space="preserve">   fornecidos pelo enunciado (endereço e operação) e não devem ser alteradas.</t>
  </si>
  <si>
    <t xml:space="preserve">2. As colunas endereco_bin, rotulo, indice, deslocamento, resultado e tipo_falta devem ser</t>
  </si>
  <si>
    <t xml:space="preserve">   obtidas por FÓRMULA a partir da coluna endereco_hex. Valores digitados manualmente</t>
  </si>
  <si>
    <t xml:space="preserve">   custam metade da pontuação do critério 4 da rubrica.</t>
  </si>
  <si>
    <t xml:space="preserve">3. Os cinco primeiros acessos da aba 'Traço Principal' já estão resolvidos como exemplo de</t>
  </si>
  <si>
    <t xml:space="preserve">   formato. Estude as fórmulas dessas linhas e arraste-as para baixo.</t>
  </si>
  <si>
    <t xml:space="preserve">4. As colunas L a O (L0 a L3) simulam o rótulo residente em cada uma das quatro linhas da cache</t>
  </si>
  <si>
    <t xml:space="preserve">   após cada acesso. É esse bloco auxiliar que permite descobrir o estado ANTERIOR da linha</t>
  </si>
  <si>
    <t xml:space="preserve">   acessada, e portanto classificar cada acesso. A linha 'reset' representa a cache invalidada.</t>
  </si>
  <si>
    <t xml:space="preserve">5. A cache atende somente leituras, então em toda FALTA o bloco é trazido para a cache e o</t>
  </si>
  <si>
    <t xml:space="preserve">   rótulo da linha passa a ser o do endereço pedido. Não há política de escrita a considerar.</t>
  </si>
  <si>
    <t xml:space="preserve">6. Preencha a aba 'Resumo' com os indicadores pedidos na Seção 5.5.2 do enunciado.</t>
  </si>
  <si>
    <t xml:space="preserve">FUNÇÕES ÚTEIS: DEC2BIN, HEX2DEC, BIN2DEC, MID, LEFT, RIGHT, INDEX, IF, AND, COUNTIF.</t>
  </si>
  <si>
    <t xml:space="preserve">acesso</t>
  </si>
  <si>
    <t xml:space="preserve">endereco_hex</t>
  </si>
  <si>
    <t xml:space="preserve">endereco_bin</t>
  </si>
  <si>
    <t xml:space="preserve">rotulo</t>
  </si>
  <si>
    <t xml:space="preserve">indice</t>
  </si>
  <si>
    <t xml:space="preserve">deslocamento</t>
  </si>
  <si>
    <t xml:space="preserve">valido_antes</t>
  </si>
  <si>
    <t xml:space="preserve">rotulo_armazenado_antes</t>
  </si>
  <si>
    <t xml:space="preserve">resultado</t>
  </si>
  <si>
    <t xml:space="preserve">tipo_falta</t>
  </si>
  <si>
    <t xml:space="preserve">rotulo_apos</t>
  </si>
  <si>
    <t xml:space="preserve">L0</t>
  </si>
  <si>
    <t xml:space="preserve">L1</t>
  </si>
  <si>
    <t xml:space="preserve">L2</t>
  </si>
  <si>
    <t xml:space="preserve">L3</t>
  </si>
  <si>
    <t xml:space="preserve">reset</t>
  </si>
  <si>
    <t xml:space="preserve">cache invalidada</t>
  </si>
  <si>
    <t xml:space="preserve">-</t>
  </si>
  <si>
    <t xml:space="preserve">0x00</t>
  </si>
  <si>
    <t xml:space="preserve">0x01</t>
  </si>
  <si>
    <t xml:space="preserve">0x02</t>
  </si>
  <si>
    <t xml:space="preserve">0x03</t>
  </si>
  <si>
    <t xml:space="preserve">0x20</t>
  </si>
  <si>
    <t xml:space="preserve">0x21</t>
  </si>
  <si>
    <t xml:space="preserve">0x04</t>
  </si>
  <si>
    <t xml:space="preserve">0x05</t>
  </si>
  <si>
    <t xml:space="preserve">0x06</t>
  </si>
  <si>
    <t xml:space="preserve">0x07</t>
  </si>
  <si>
    <t xml:space="preserve">0x22</t>
  </si>
  <si>
    <t xml:space="preserve">0x23</t>
  </si>
  <si>
    <t xml:space="preserve">Colunas L a O (L0..L3): rótulo residente em cada linha da cache APÓS o acesso. São colunas auxiliares de simulação — mantenha-as. Colunas em azul são dados fornecidos pelo enunciado; não alterar.</t>
  </si>
  <si>
    <t xml:space="preserve">0x10</t>
  </si>
  <si>
    <t xml:space="preserve">0x18</t>
  </si>
  <si>
    <t xml:space="preserve">0x28</t>
  </si>
  <si>
    <t xml:space="preserve">0x38</t>
  </si>
  <si>
    <t xml:space="preserve">PARÂMETROS DA CACHE (fornecidos — Tabela 7 do enunciado)</t>
  </si>
  <si>
    <t xml:space="preserve">Organização</t>
  </si>
  <si>
    <t xml:space="preserve">Mapeamento direto</t>
  </si>
  <si>
    <t xml:space="preserve">Fixo pelo enunciado.</t>
  </si>
  <si>
    <t xml:space="preserve">Número de linhas</t>
  </si>
  <si>
    <t xml:space="preserve">Tamanho do bloco (bytes)</t>
  </si>
  <si>
    <t xml:space="preserve">Bits de rótulo / índice / deslocamento</t>
  </si>
  <si>
    <t xml:space="preserve">3 / 2 / 1</t>
  </si>
  <si>
    <t xml:space="preserve">Demonstrar algebricamente no relatório.</t>
  </si>
  <si>
    <t xml:space="preserve">Operações atendidas</t>
  </si>
  <si>
    <t xml:space="preserve">somente leitura</t>
  </si>
  <si>
    <t xml:space="preserve">Não há política de escrita nesta versão.</t>
  </si>
  <si>
    <t xml:space="preserve">Tempo de acerto (ciclos)</t>
  </si>
  <si>
    <t xml:space="preserve">Penalidade de falta (ciclos)</t>
  </si>
  <si>
    <t xml:space="preserve">INDICADORES — TRAÇO PRINCIPAL</t>
  </si>
  <si>
    <t xml:space="preserve">Total de acessos</t>
  </si>
  <si>
    <t xml:space="preserve">Acertos</t>
  </si>
  <si>
    <t xml:space="preserve">Faltas</t>
  </si>
  <si>
    <t xml:space="preserve">Faltas compulsórias</t>
  </si>
  <si>
    <t xml:space="preserve">Faltas por conflito</t>
  </si>
  <si>
    <t xml:space="preserve">Taxa de acertos</t>
  </si>
  <si>
    <t xml:space="preserve">Taxa de acertos = acertos / total de acessos</t>
  </si>
  <si>
    <t xml:space="preserve">Taxa de faltas</t>
  </si>
  <si>
    <t xml:space="preserve">AMAT (ciclos)</t>
  </si>
  <si>
    <t xml:space="preserve">AMAT = tempo de acerto + (taxa de faltas × penalidade de falta)</t>
  </si>
  <si>
    <t xml:space="preserve">INDICADORES — TESTE DE CONFLITO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</si>
</sst>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B2FB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271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2"/>
    </font>
    <font>
      <b val="true"/>
      <sz val="10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6B2FBF"/>
        <bgColor rgb="FF993366"/>
      </patternFill>
    </fill>
    <fill>
      <patternFill patternType="solid">
        <fgColor rgb="FFF27127"/>
        <bgColor rgb="FFFF8080"/>
      </patternFill>
    </fill>
    <fill>
      <patternFill patternType="solid">
        <fgColor rgb="FFF2F0F7"/>
        <bgColor rgb="FFFFFFFF"/>
      </patternFill>
    </fill>
    <fill>
      <patternFill patternType="solid">
        <fgColor rgb="FFFFF2CC"/>
        <bgColor rgb="FFF2F0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7127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6B2FB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2</v>
      </c>
    </row>
    <row r="6" customFormat="false" ht="15" hidden="false" customHeight="false" outlineLevel="0" collapsed="false">
      <c r="A6" s="4"/>
    </row>
    <row r="7" customFormat="false" ht="15" hidden="false" customHeight="false" outlineLevel="0" collapsed="false">
      <c r="A7" s="4" t="s">
        <v>3</v>
      </c>
    </row>
    <row r="8" customFormat="false" ht="15" hidden="false" customHeight="false" outlineLevel="0" collapsed="false">
      <c r="A8" s="4" t="s">
        <v>4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5</v>
      </c>
    </row>
    <row r="11" customFormat="false" ht="15" hidden="false" customHeight="false" outlineLevel="0" collapsed="false">
      <c r="A11" s="4" t="s">
        <v>6</v>
      </c>
    </row>
    <row r="12" customFormat="false" ht="15" hidden="false" customHeight="false" outlineLevel="0" collapsed="false">
      <c r="A12" s="4" t="s">
        <v>7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 t="s">
        <v>8</v>
      </c>
    </row>
    <row r="15" customFormat="false" ht="15" hidden="false" customHeight="false" outlineLevel="0" collapsed="false">
      <c r="A15" s="4" t="s">
        <v>9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4" t="s">
        <v>10</v>
      </c>
    </row>
    <row r="18" customFormat="false" ht="15" hidden="false" customHeight="false" outlineLevel="0" collapsed="false">
      <c r="A18" s="4" t="s">
        <v>11</v>
      </c>
    </row>
    <row r="19" customFormat="false" ht="15" hidden="false" customHeight="false" outlineLevel="0" collapsed="false">
      <c r="A19" s="4" t="s">
        <v>12</v>
      </c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4" t="s">
        <v>13</v>
      </c>
    </row>
    <row r="22" customFormat="false" ht="15" hidden="false" customHeight="false" outlineLevel="0" collapsed="false">
      <c r="A22" s="4" t="s">
        <v>14</v>
      </c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4" t="s">
        <v>15</v>
      </c>
    </row>
    <row r="25" customFormat="false" ht="15" hidden="false" customHeight="false" outlineLevel="0" collapsed="false">
      <c r="A25" s="4"/>
    </row>
    <row r="26" customFormat="false" ht="15" hidden="false" customHeight="false" outlineLevel="0" collapsed="false">
      <c r="A26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O3" activeCellId="0" sqref="O3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4"/>
    <col collapsed="false" customWidth="true" hidden="false" outlineLevel="0" max="5" min="4" style="1" width="9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1"/>
    <col collapsed="false" customWidth="true" hidden="false" outlineLevel="0" max="11" min="10" style="1" width="14"/>
    <col collapsed="false" customWidth="true" hidden="false" outlineLevel="0" max="15" min="12" style="1" width="6"/>
  </cols>
  <sheetData>
    <row r="1" customFormat="false" ht="15" hidden="false" customHeight="fals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7" t="s">
        <v>28</v>
      </c>
      <c r="M1" s="7" t="s">
        <v>29</v>
      </c>
      <c r="N1" s="7" t="s">
        <v>30</v>
      </c>
      <c r="O1" s="7" t="s">
        <v>31</v>
      </c>
    </row>
    <row r="2" customFormat="false" ht="15" hidden="false" customHeight="false" outlineLevel="0" collapsed="false">
      <c r="A2" s="8" t="s">
        <v>32</v>
      </c>
      <c r="B2" s="8" t="s">
        <v>33</v>
      </c>
      <c r="C2" s="8"/>
      <c r="D2" s="8"/>
      <c r="E2" s="8"/>
      <c r="F2" s="8"/>
      <c r="G2" s="8"/>
      <c r="H2" s="8"/>
      <c r="I2" s="8"/>
      <c r="J2" s="8"/>
      <c r="K2" s="8"/>
      <c r="L2" s="8" t="s">
        <v>34</v>
      </c>
      <c r="M2" s="8" t="s">
        <v>34</v>
      </c>
      <c r="N2" s="8" t="s">
        <v>34</v>
      </c>
      <c r="O2" s="8" t="s">
        <v>34</v>
      </c>
    </row>
    <row r="3" customFormat="false" ht="15" hidden="false" customHeight="false" outlineLevel="0" collapsed="false">
      <c r="A3" s="9" t="n">
        <v>1</v>
      </c>
      <c r="B3" s="10" t="s">
        <v>35</v>
      </c>
      <c r="C3" s="9" t="str">
        <f aca="false">DEC2BIN(HEX2DEC(MID(B3,3,2)),6)</f>
        <v>000000</v>
      </c>
      <c r="D3" s="9" t="str">
        <f aca="false">LEFT(C3,3)</f>
        <v>000</v>
      </c>
      <c r="E3" s="9" t="str">
        <f aca="false">MID(C3,4,2)</f>
        <v>00</v>
      </c>
      <c r="F3" s="9" t="str">
        <f aca="false">RIGHT(C3,1)</f>
        <v>0</v>
      </c>
      <c r="G3" s="9" t="n">
        <f aca="false">IF(H3="-",0,1)</f>
        <v>0</v>
      </c>
      <c r="H3" s="9" t="str">
        <f aca="false">INDEX(L2:O2,1,BIN2DEC(E3)+1)</f>
        <v>-</v>
      </c>
      <c r="I3" s="9" t="str">
        <f aca="false">IF(AND(G3=1,H3=D3),"ACERTO","FALTA")</f>
        <v>FALTA</v>
      </c>
      <c r="J3" s="9" t="str">
        <f aca="false">IF(I3="ACERTO","",IF(G3=0,"compulsoria","conflito"))</f>
        <v>compulsoria</v>
      </c>
      <c r="K3" s="9" t="str">
        <f aca="false">D3</f>
        <v>000</v>
      </c>
      <c r="L3" s="9" t="str">
        <f aca="false">IF($E3="00",$K3,L2)</f>
        <v>000</v>
      </c>
      <c r="M3" s="9" t="str">
        <f aca="false">IF($E3="01",$K3,M2)</f>
        <v>-</v>
      </c>
      <c r="N3" s="9" t="str">
        <f aca="false">IF($E3="10",$K3,N2)</f>
        <v>-</v>
      </c>
      <c r="O3" s="9" t="str">
        <f aca="false">IF($E3="11",$K3,O2)</f>
        <v>-</v>
      </c>
    </row>
    <row r="4" customFormat="false" ht="15" hidden="false" customHeight="false" outlineLevel="0" collapsed="false">
      <c r="A4" s="9" t="n">
        <v>2</v>
      </c>
      <c r="B4" s="10" t="s">
        <v>36</v>
      </c>
      <c r="C4" s="9" t="str">
        <f aca="false">DEC2BIN(HEX2DEC(MID(B4,3,2)),6)</f>
        <v>000001</v>
      </c>
      <c r="D4" s="9" t="str">
        <f aca="false">LEFT(C4,3)</f>
        <v>000</v>
      </c>
      <c r="E4" s="9" t="str">
        <f aca="false">MID(C4,4,2)</f>
        <v>00</v>
      </c>
      <c r="F4" s="9" t="str">
        <f aca="false">RIGHT(C4,1)</f>
        <v>1</v>
      </c>
      <c r="G4" s="9" t="n">
        <f aca="false">IF(H4="-",0,1)</f>
        <v>1</v>
      </c>
      <c r="H4" s="9" t="str">
        <f aca="false">INDEX(L3:O3,1,BIN2DEC(E4)+1)</f>
        <v>000</v>
      </c>
      <c r="I4" s="9" t="str">
        <f aca="false">IF(AND(G4=1,H4=D4),"ACERTO","FALTA")</f>
        <v>ACERTO</v>
      </c>
      <c r="J4" s="9" t="str">
        <f aca="false">IF(I4="ACERTO","",IF(G4=0,"compulsoria","conflito"))</f>
        <v/>
      </c>
      <c r="K4" s="9" t="str">
        <f aca="false">D4</f>
        <v>000</v>
      </c>
      <c r="L4" s="9" t="str">
        <f aca="false">IF($E4="00",$K4,L3)</f>
        <v>000</v>
      </c>
      <c r="M4" s="9" t="str">
        <f aca="false">IF($E4="01",$K4,M3)</f>
        <v>-</v>
      </c>
      <c r="N4" s="9" t="str">
        <f aca="false">IF($E4="10",$K4,N3)</f>
        <v>-</v>
      </c>
      <c r="O4" s="9" t="str">
        <f aca="false">IF($E4="11",$K4,O3)</f>
        <v>-</v>
      </c>
    </row>
    <row r="5" customFormat="false" ht="15" hidden="false" customHeight="false" outlineLevel="0" collapsed="false">
      <c r="A5" s="9" t="n">
        <v>3</v>
      </c>
      <c r="B5" s="10" t="s">
        <v>37</v>
      </c>
      <c r="C5" s="9" t="str">
        <f aca="false">DEC2BIN(HEX2DEC(MID(B5,3,2)),6)</f>
        <v>000010</v>
      </c>
      <c r="D5" s="9" t="str">
        <f aca="false">LEFT(C5,3)</f>
        <v>000</v>
      </c>
      <c r="E5" s="9" t="str">
        <f aca="false">MID(C5,4,2)</f>
        <v>01</v>
      </c>
      <c r="F5" s="9" t="str">
        <f aca="false">RIGHT(C5,1)</f>
        <v>0</v>
      </c>
      <c r="G5" s="9" t="n">
        <f aca="false">IF(H5="-",0,1)</f>
        <v>0</v>
      </c>
      <c r="H5" s="9" t="str">
        <f aca="false">INDEX(L4:O4,1,BIN2DEC(E5)+1)</f>
        <v>-</v>
      </c>
      <c r="I5" s="9" t="str">
        <f aca="false">IF(AND(G5=1,H5=D5),"ACERTO","FALTA")</f>
        <v>FALTA</v>
      </c>
      <c r="J5" s="9" t="str">
        <f aca="false">IF(I5="ACERTO","",IF(G5=0,"compulsoria","conflito"))</f>
        <v>compulsoria</v>
      </c>
      <c r="K5" s="9" t="str">
        <f aca="false">D5</f>
        <v>000</v>
      </c>
      <c r="L5" s="9" t="str">
        <f aca="false">IF($E5="00",$K5,L4)</f>
        <v>000</v>
      </c>
      <c r="M5" s="9" t="str">
        <f aca="false">IF($E5="01",$K5,M4)</f>
        <v>000</v>
      </c>
      <c r="N5" s="9" t="str">
        <f aca="false">IF($E5="10",$K5,N4)</f>
        <v>-</v>
      </c>
      <c r="O5" s="9" t="str">
        <f aca="false">IF($E5="11",$K5,O4)</f>
        <v>-</v>
      </c>
    </row>
    <row r="6" customFormat="false" ht="15" hidden="false" customHeight="false" outlineLevel="0" collapsed="false">
      <c r="A6" s="9" t="n">
        <v>4</v>
      </c>
      <c r="B6" s="10" t="s">
        <v>38</v>
      </c>
      <c r="C6" s="9" t="str">
        <f aca="false">DEC2BIN(HEX2DEC(MID(B6,3,2)),6)</f>
        <v>000011</v>
      </c>
      <c r="D6" s="9" t="str">
        <f aca="false">LEFT(C6,3)</f>
        <v>000</v>
      </c>
      <c r="E6" s="9" t="str">
        <f aca="false">MID(C6,4,2)</f>
        <v>01</v>
      </c>
      <c r="F6" s="9" t="str">
        <f aca="false">RIGHT(C6,1)</f>
        <v>1</v>
      </c>
      <c r="G6" s="9" t="n">
        <f aca="false">IF(H6="-",0,1)</f>
        <v>1</v>
      </c>
      <c r="H6" s="9" t="str">
        <f aca="false">INDEX(L5:O5,1,BIN2DEC(E6)+1)</f>
        <v>000</v>
      </c>
      <c r="I6" s="9" t="str">
        <f aca="false">IF(AND(G6=1,H6=D6),"ACERTO","FALTA")</f>
        <v>ACERTO</v>
      </c>
      <c r="J6" s="9" t="str">
        <f aca="false">IF(I6="ACERTO","",IF(G6=0,"compulsoria","conflito"))</f>
        <v/>
      </c>
      <c r="K6" s="9" t="str">
        <f aca="false">D6</f>
        <v>000</v>
      </c>
      <c r="L6" s="9" t="str">
        <f aca="false">IF($E6="00",$K6,L5)</f>
        <v>000</v>
      </c>
      <c r="M6" s="9" t="str">
        <f aca="false">IF($E6="01",$K6,M5)</f>
        <v>000</v>
      </c>
      <c r="N6" s="9" t="str">
        <f aca="false">IF($E6="10",$K6,N5)</f>
        <v>-</v>
      </c>
      <c r="O6" s="9" t="str">
        <f aca="false">IF($E6="11",$K6,O5)</f>
        <v>-</v>
      </c>
    </row>
    <row r="7" customFormat="false" ht="15" hidden="false" customHeight="false" outlineLevel="0" collapsed="false">
      <c r="A7" s="9" t="n">
        <v>5</v>
      </c>
      <c r="B7" s="10" t="s">
        <v>35</v>
      </c>
      <c r="C7" s="9" t="str">
        <f aca="false">DEC2BIN(HEX2DEC(MID(B7,3,2)),6)</f>
        <v>000000</v>
      </c>
      <c r="D7" s="9" t="str">
        <f aca="false">LEFT(C7,3)</f>
        <v>000</v>
      </c>
      <c r="E7" s="9" t="str">
        <f aca="false">MID(C7,4,2)</f>
        <v>00</v>
      </c>
      <c r="F7" s="9" t="str">
        <f aca="false">RIGHT(C7,1)</f>
        <v>0</v>
      </c>
      <c r="G7" s="9" t="n">
        <f aca="false">IF(H7="-",0,1)</f>
        <v>1</v>
      </c>
      <c r="H7" s="9" t="str">
        <f aca="false">INDEX(L6:O6,1,BIN2DEC(E7)+1)</f>
        <v>000</v>
      </c>
      <c r="I7" s="9" t="str">
        <f aca="false">IF(AND(G7=1,H7=D7),"ACERTO","FALTA")</f>
        <v>ACERTO</v>
      </c>
      <c r="J7" s="9" t="str">
        <f aca="false">IF(I7="ACERTO","",IF(G7=0,"compulsoria","conflito"))</f>
        <v/>
      </c>
      <c r="K7" s="9" t="str">
        <f aca="false">D7</f>
        <v>000</v>
      </c>
      <c r="L7" s="9" t="str">
        <f aca="false">IF($E7="00",$K7,L6)</f>
        <v>000</v>
      </c>
      <c r="M7" s="9" t="str">
        <f aca="false">IF($E7="01",$K7,M6)</f>
        <v>000</v>
      </c>
      <c r="N7" s="9" t="str">
        <f aca="false">IF($E7="10",$K7,N6)</f>
        <v>-</v>
      </c>
      <c r="O7" s="9" t="str">
        <f aca="false">IF($E7="11",$K7,O6)</f>
        <v>-</v>
      </c>
    </row>
    <row r="8" customFormat="false" ht="15" hidden="false" customHeight="false" outlineLevel="0" collapsed="false">
      <c r="A8" s="9" t="n">
        <v>6</v>
      </c>
      <c r="B8" s="10" t="s">
        <v>39</v>
      </c>
      <c r="C8" s="9" t="str">
        <f aca="false">DEC2BIN(HEX2DEC(MID(B8,3,2)),6)</f>
        <v>100000</v>
      </c>
      <c r="D8" s="9" t="str">
        <f aca="false">LEFT(C8,3)</f>
        <v>100</v>
      </c>
      <c r="E8" s="9" t="str">
        <f aca="false">MID(C8,4,2)</f>
        <v>00</v>
      </c>
      <c r="F8" s="9" t="str">
        <f aca="false">RIGHT(C8,1)</f>
        <v>0</v>
      </c>
      <c r="G8" s="9" t="n">
        <f aca="false">IF(H8="-",0,1)</f>
        <v>1</v>
      </c>
      <c r="H8" s="9" t="str">
        <f aca="false">INDEX(L7:O7,1,BIN2DEC(E8)+1)</f>
        <v>000</v>
      </c>
      <c r="I8" s="9" t="str">
        <f aca="false">IF(AND(G8=1,H8=D8),"ACERTO","FALTA")</f>
        <v>FALTA</v>
      </c>
      <c r="J8" s="9" t="str">
        <f aca="false">IF(I8="ACERTO","",IF(G8=0,"compulsoria","conflito"))</f>
        <v>conflito</v>
      </c>
      <c r="K8" s="9" t="str">
        <f aca="false">D8</f>
        <v>100</v>
      </c>
      <c r="L8" s="9" t="str">
        <f aca="false">IF($E8="00",$K8,L7)</f>
        <v>100</v>
      </c>
      <c r="M8" s="9" t="str">
        <f aca="false">IF($E8="01",$K8,M7)</f>
        <v>000</v>
      </c>
      <c r="N8" s="9" t="str">
        <f aca="false">IF($E8="10",$K8,N7)</f>
        <v>-</v>
      </c>
      <c r="O8" s="9" t="str">
        <f aca="false">IF($E8="11",$K8,O7)</f>
        <v>-</v>
      </c>
    </row>
    <row r="9" customFormat="false" ht="15" hidden="false" customHeight="false" outlineLevel="0" collapsed="false">
      <c r="A9" s="9" t="n">
        <v>7</v>
      </c>
      <c r="B9" s="10" t="s">
        <v>40</v>
      </c>
      <c r="C9" s="9" t="str">
        <f aca="false">DEC2BIN(HEX2DEC(MID(B9,3,2)),6)</f>
        <v>100001</v>
      </c>
      <c r="D9" s="9" t="str">
        <f aca="false">LEFT(C9,3)</f>
        <v>100</v>
      </c>
      <c r="E9" s="9" t="str">
        <f aca="false">MID(C9,4,2)</f>
        <v>00</v>
      </c>
      <c r="F9" s="9" t="str">
        <f aca="false">RIGHT(C9,1)</f>
        <v>1</v>
      </c>
      <c r="G9" s="9" t="n">
        <f aca="false">IF(H9="-",0,1)</f>
        <v>1</v>
      </c>
      <c r="H9" s="9" t="str">
        <f aca="false">INDEX(L8:O8,1,BIN2DEC(E9)+1)</f>
        <v>100</v>
      </c>
      <c r="I9" s="9" t="str">
        <f aca="false">IF(AND(G9=1,H9=D9),"ACERTO","FALTA")</f>
        <v>ACERTO</v>
      </c>
      <c r="J9" s="9" t="str">
        <f aca="false">IF(I9="ACERTO","",IF(G9=0,"compulsoria","conflito"))</f>
        <v/>
      </c>
      <c r="K9" s="9" t="str">
        <f aca="false">D9</f>
        <v>100</v>
      </c>
      <c r="L9" s="9" t="str">
        <f aca="false">IF($E9="00",$K9,L8)</f>
        <v>100</v>
      </c>
      <c r="M9" s="9" t="str">
        <f aca="false">IF($E9="01",$K9,M8)</f>
        <v>000</v>
      </c>
      <c r="N9" s="9" t="str">
        <f aca="false">IF($E9="10",$K9,N8)</f>
        <v>-</v>
      </c>
      <c r="O9" s="9" t="str">
        <f aca="false">IF($E9="11",$K9,O8)</f>
        <v>-</v>
      </c>
    </row>
    <row r="10" customFormat="false" ht="15" hidden="false" customHeight="false" outlineLevel="0" collapsed="false">
      <c r="A10" s="9" t="n">
        <v>8</v>
      </c>
      <c r="B10" s="10" t="s">
        <v>35</v>
      </c>
      <c r="C10" s="9" t="str">
        <f aca="false">DEC2BIN(HEX2DEC(MID(B10,3,2)),6)</f>
        <v>000000</v>
      </c>
      <c r="D10" s="9" t="str">
        <f aca="false">LEFT(C10,3)</f>
        <v>000</v>
      </c>
      <c r="E10" s="9" t="str">
        <f aca="false">MID(C10,4,2)</f>
        <v>00</v>
      </c>
      <c r="F10" s="9" t="str">
        <f aca="false">RIGHT(C10,1)</f>
        <v>0</v>
      </c>
      <c r="G10" s="9" t="n">
        <f aca="false">IF(H10="-",0,1)</f>
        <v>1</v>
      </c>
      <c r="H10" s="9" t="str">
        <f aca="false">INDEX(L9:O9,1,BIN2DEC(E10)+1)</f>
        <v>100</v>
      </c>
      <c r="I10" s="9" t="str">
        <f aca="false">IF(AND(G10=1,H10=D10),"ACERTO","FALTA")</f>
        <v>FALTA</v>
      </c>
      <c r="J10" s="9" t="str">
        <f aca="false">IF(I10="ACERTO","",IF(G10=0,"compulsoria","conflito"))</f>
        <v>conflito</v>
      </c>
      <c r="K10" s="9" t="str">
        <f aca="false">D10</f>
        <v>000</v>
      </c>
      <c r="L10" s="9" t="str">
        <f aca="false">IF($E10="00",$K10,L9)</f>
        <v>000</v>
      </c>
      <c r="M10" s="9" t="str">
        <f aca="false">IF($E10="01",$K10,M9)</f>
        <v>000</v>
      </c>
      <c r="N10" s="9" t="str">
        <f aca="false">IF($E10="10",$K10,N9)</f>
        <v>-</v>
      </c>
      <c r="O10" s="9" t="str">
        <f aca="false">IF($E10="11",$K10,O9)</f>
        <v>-</v>
      </c>
    </row>
    <row r="11" customFormat="false" ht="15" hidden="false" customHeight="false" outlineLevel="0" collapsed="false">
      <c r="A11" s="9" t="n">
        <v>9</v>
      </c>
      <c r="B11" s="10" t="s">
        <v>41</v>
      </c>
      <c r="C11" s="9" t="str">
        <f aca="false">DEC2BIN(HEX2DEC(MID(B11,3,2)),6)</f>
        <v>000100</v>
      </c>
      <c r="D11" s="9" t="str">
        <f aca="false">LEFT(C11,3)</f>
        <v>000</v>
      </c>
      <c r="E11" s="9" t="str">
        <f aca="false">MID(C11,4,2)</f>
        <v>10</v>
      </c>
      <c r="F11" s="9" t="str">
        <f aca="false">RIGHT(C11,1)</f>
        <v>0</v>
      </c>
      <c r="G11" s="9" t="n">
        <f aca="false">IF(H11="-",0,1)</f>
        <v>0</v>
      </c>
      <c r="H11" s="9" t="str">
        <f aca="false">INDEX(L10:O10,1,BIN2DEC(E11)+1)</f>
        <v>-</v>
      </c>
      <c r="I11" s="9" t="str">
        <f aca="false">IF(AND(G11=1,H11=D11),"ACERTO","FALTA")</f>
        <v>FALTA</v>
      </c>
      <c r="J11" s="9" t="str">
        <f aca="false">IF(I11="ACERTO","",IF(G11=0,"compulsoria","conflito"))</f>
        <v>compulsoria</v>
      </c>
      <c r="K11" s="9" t="str">
        <f aca="false">D11</f>
        <v>000</v>
      </c>
      <c r="L11" s="9" t="str">
        <f aca="false">IF($E11="00",$K11,L10)</f>
        <v>000</v>
      </c>
      <c r="M11" s="9" t="str">
        <f aca="false">IF($E11="01",$K11,M10)</f>
        <v>000</v>
      </c>
      <c r="N11" s="9" t="str">
        <f aca="false">IF($E11="10",$K11,N10)</f>
        <v>000</v>
      </c>
      <c r="O11" s="9" t="str">
        <f aca="false">IF($E11="11",$K11,O10)</f>
        <v>-</v>
      </c>
    </row>
    <row r="12" customFormat="false" ht="15" hidden="false" customHeight="false" outlineLevel="0" collapsed="false">
      <c r="A12" s="9" t="n">
        <v>10</v>
      </c>
      <c r="B12" s="10" t="s">
        <v>42</v>
      </c>
      <c r="C12" s="9" t="str">
        <f aca="false">DEC2BIN(HEX2DEC(MID(B12,3,2)),6)</f>
        <v>000101</v>
      </c>
      <c r="D12" s="9" t="str">
        <f aca="false">LEFT(C12,3)</f>
        <v>000</v>
      </c>
      <c r="E12" s="9" t="str">
        <f aca="false">MID(C12,4,2)</f>
        <v>10</v>
      </c>
      <c r="F12" s="9" t="str">
        <f aca="false">RIGHT(C12,1)</f>
        <v>1</v>
      </c>
      <c r="G12" s="9" t="n">
        <f aca="false">IF(H12="-",0,1)</f>
        <v>1</v>
      </c>
      <c r="H12" s="9" t="str">
        <f aca="false">INDEX(L11:O11,1,BIN2DEC(E12)+1)</f>
        <v>000</v>
      </c>
      <c r="I12" s="9" t="str">
        <f aca="false">IF(AND(G12=1,H12=D12),"ACERTO","FALTA")</f>
        <v>ACERTO</v>
      </c>
      <c r="J12" s="9" t="str">
        <f aca="false">IF(I12="ACERTO","",IF(G12=0,"compulsoria","conflito"))</f>
        <v/>
      </c>
      <c r="K12" s="9" t="str">
        <f aca="false">D12</f>
        <v>000</v>
      </c>
      <c r="L12" s="9" t="str">
        <f aca="false">IF($E12="00",$K12,L11)</f>
        <v>000</v>
      </c>
      <c r="M12" s="9" t="str">
        <f aca="false">IF($E12="01",$K12,M11)</f>
        <v>000</v>
      </c>
      <c r="N12" s="9" t="str">
        <f aca="false">IF($E12="10",$K12,N11)</f>
        <v>000</v>
      </c>
      <c r="O12" s="9" t="str">
        <f aca="false">IF($E12="11",$K12,O11)</f>
        <v>-</v>
      </c>
    </row>
    <row r="13" customFormat="false" ht="15" hidden="false" customHeight="false" outlineLevel="0" collapsed="false">
      <c r="A13" s="9" t="n">
        <v>11</v>
      </c>
      <c r="B13" s="10" t="s">
        <v>43</v>
      </c>
      <c r="C13" s="9" t="str">
        <f aca="false">DEC2BIN(HEX2DEC(MID(B13,3,2)),6)</f>
        <v>000110</v>
      </c>
      <c r="D13" s="9" t="str">
        <f aca="false">LEFT(C13,3)</f>
        <v>000</v>
      </c>
      <c r="E13" s="9" t="str">
        <f aca="false">MID(C13,4,2)</f>
        <v>11</v>
      </c>
      <c r="F13" s="9" t="str">
        <f aca="false">RIGHT(C13,1)</f>
        <v>0</v>
      </c>
      <c r="G13" s="9" t="n">
        <f aca="false">IF(H13="-",0,1)</f>
        <v>0</v>
      </c>
      <c r="H13" s="9" t="str">
        <f aca="false">INDEX(L12:O12,1,BIN2DEC(E13)+1)</f>
        <v>-</v>
      </c>
      <c r="I13" s="9" t="str">
        <f aca="false">IF(AND(G13=1,H13=D13),"ACERTO","FALTA")</f>
        <v>FALTA</v>
      </c>
      <c r="J13" s="9" t="str">
        <f aca="false">IF(I13="ACERTO","",IF(G13=0,"compulsoria","conflito"))</f>
        <v>compulsoria</v>
      </c>
      <c r="K13" s="9" t="str">
        <f aca="false">D13</f>
        <v>000</v>
      </c>
      <c r="L13" s="9" t="str">
        <f aca="false">IF($E13="00",$K13,L12)</f>
        <v>000</v>
      </c>
      <c r="M13" s="9" t="str">
        <f aca="false">IF($E13="01",$K13,M12)</f>
        <v>000</v>
      </c>
      <c r="N13" s="9" t="str">
        <f aca="false">IF($E13="10",$K13,N12)</f>
        <v>000</v>
      </c>
      <c r="O13" s="9" t="str">
        <f aca="false">IF($E13="11",$K13,O12)</f>
        <v>000</v>
      </c>
    </row>
    <row r="14" customFormat="false" ht="15" hidden="false" customHeight="false" outlineLevel="0" collapsed="false">
      <c r="A14" s="9" t="n">
        <v>12</v>
      </c>
      <c r="B14" s="10" t="s">
        <v>44</v>
      </c>
      <c r="C14" s="9" t="str">
        <f aca="false">DEC2BIN(HEX2DEC(MID(B14,3,2)),6)</f>
        <v>000111</v>
      </c>
      <c r="D14" s="9" t="str">
        <f aca="false">LEFT(C14,3)</f>
        <v>000</v>
      </c>
      <c r="E14" s="9" t="str">
        <f aca="false">MID(C14,4,2)</f>
        <v>11</v>
      </c>
      <c r="F14" s="9" t="str">
        <f aca="false">RIGHT(C14,1)</f>
        <v>1</v>
      </c>
      <c r="G14" s="9" t="n">
        <f aca="false">IF(H14="-",0,1)</f>
        <v>1</v>
      </c>
      <c r="H14" s="9" t="str">
        <f aca="false">INDEX(L13:O13,1,BIN2DEC(E14)+1)</f>
        <v>000</v>
      </c>
      <c r="I14" s="9" t="str">
        <f aca="false">IF(AND(G14=1,H14=D14),"ACERTO","FALTA")</f>
        <v>ACERTO</v>
      </c>
      <c r="J14" s="9" t="str">
        <f aca="false">IF(I14="ACERTO","",IF(G14=0,"compulsoria","conflito"))</f>
        <v/>
      </c>
      <c r="K14" s="9" t="str">
        <f aca="false">D14</f>
        <v>000</v>
      </c>
      <c r="L14" s="9" t="str">
        <f aca="false">IF($E14="00",$K14,L13)</f>
        <v>000</v>
      </c>
      <c r="M14" s="9" t="str">
        <f aca="false">IF($E14="01",$K14,M13)</f>
        <v>000</v>
      </c>
      <c r="N14" s="9" t="str">
        <f aca="false">IF($E14="10",$K14,N13)</f>
        <v>000</v>
      </c>
      <c r="O14" s="9" t="str">
        <f aca="false">IF($E14="11",$K14,O13)</f>
        <v>000</v>
      </c>
    </row>
    <row r="15" customFormat="false" ht="15" hidden="false" customHeight="false" outlineLevel="0" collapsed="false">
      <c r="A15" s="9" t="n">
        <v>13</v>
      </c>
      <c r="B15" s="10" t="s">
        <v>45</v>
      </c>
      <c r="C15" s="9" t="str">
        <f aca="false">DEC2BIN(HEX2DEC(MID(B15,3,2)),6)</f>
        <v>100010</v>
      </c>
      <c r="D15" s="9" t="str">
        <f aca="false">LEFT(C15,3)</f>
        <v>100</v>
      </c>
      <c r="E15" s="9" t="str">
        <f aca="false">MID(C15,4,2)</f>
        <v>01</v>
      </c>
      <c r="F15" s="9" t="str">
        <f aca="false">RIGHT(C15,1)</f>
        <v>0</v>
      </c>
      <c r="G15" s="9" t="n">
        <f aca="false">IF(H15="-",0,1)</f>
        <v>1</v>
      </c>
      <c r="H15" s="9" t="str">
        <f aca="false">INDEX(L14:O14,1,BIN2DEC(E15)+1)</f>
        <v>000</v>
      </c>
      <c r="I15" s="9" t="str">
        <f aca="false">IF(AND(G15=1,H15=D15),"ACERTO","FALTA")</f>
        <v>FALTA</v>
      </c>
      <c r="J15" s="9" t="str">
        <f aca="false">IF(I15="ACERTO","",IF(G15=0,"compulsoria","conflito"))</f>
        <v>conflito</v>
      </c>
      <c r="K15" s="9" t="str">
        <f aca="false">D15</f>
        <v>100</v>
      </c>
      <c r="L15" s="9" t="str">
        <f aca="false">IF($E15="00",$K15,L14)</f>
        <v>000</v>
      </c>
      <c r="M15" s="9" t="str">
        <f aca="false">IF($E15="01",$K15,M14)</f>
        <v>100</v>
      </c>
      <c r="N15" s="9" t="str">
        <f aca="false">IF($E15="10",$K15,N14)</f>
        <v>000</v>
      </c>
      <c r="O15" s="9" t="str">
        <f aca="false">IF($E15="11",$K15,O14)</f>
        <v>000</v>
      </c>
    </row>
    <row r="16" customFormat="false" ht="15" hidden="false" customHeight="false" outlineLevel="0" collapsed="false">
      <c r="A16" s="9" t="n">
        <v>14</v>
      </c>
      <c r="B16" s="10" t="s">
        <v>46</v>
      </c>
      <c r="C16" s="9" t="str">
        <f aca="false">DEC2BIN(HEX2DEC(MID(B16,3,2)),6)</f>
        <v>100011</v>
      </c>
      <c r="D16" s="9" t="str">
        <f aca="false">LEFT(C16,3)</f>
        <v>100</v>
      </c>
      <c r="E16" s="9" t="str">
        <f aca="false">MID(C16,4,2)</f>
        <v>01</v>
      </c>
      <c r="F16" s="9" t="str">
        <f aca="false">RIGHT(C16,1)</f>
        <v>1</v>
      </c>
      <c r="G16" s="9" t="n">
        <f aca="false">IF(H16="-",0,1)</f>
        <v>1</v>
      </c>
      <c r="H16" s="9" t="str">
        <f aca="false">INDEX(L15:O15,1,BIN2DEC(E16)+1)</f>
        <v>100</v>
      </c>
      <c r="I16" s="9" t="str">
        <f aca="false">IF(AND(G16=1,H16=D16),"ACERTO","FALTA")</f>
        <v>ACERTO</v>
      </c>
      <c r="J16" s="9" t="str">
        <f aca="false">IF(I16="ACERTO","",IF(G16=0,"compulsoria","conflito"))</f>
        <v/>
      </c>
      <c r="K16" s="9" t="str">
        <f aca="false">D16</f>
        <v>100</v>
      </c>
      <c r="L16" s="9" t="str">
        <f aca="false">IF($E16="00",$K16,L15)</f>
        <v>000</v>
      </c>
      <c r="M16" s="9" t="str">
        <f aca="false">IF($E16="01",$K16,M15)</f>
        <v>100</v>
      </c>
      <c r="N16" s="9" t="str">
        <f aca="false">IF($E16="10",$K16,N15)</f>
        <v>000</v>
      </c>
      <c r="O16" s="9" t="str">
        <f aca="false">IF($E16="11",$K16,O15)</f>
        <v>000</v>
      </c>
    </row>
    <row r="17" customFormat="false" ht="15" hidden="false" customHeight="false" outlineLevel="0" collapsed="false">
      <c r="A17" s="9" t="n">
        <v>15</v>
      </c>
      <c r="B17" s="10" t="s">
        <v>37</v>
      </c>
      <c r="C17" s="9" t="str">
        <f aca="false">DEC2BIN(HEX2DEC(MID(B17,3,2)),6)</f>
        <v>000010</v>
      </c>
      <c r="D17" s="9" t="str">
        <f aca="false">LEFT(C17,3)</f>
        <v>000</v>
      </c>
      <c r="E17" s="9" t="str">
        <f aca="false">MID(C17,4,2)</f>
        <v>01</v>
      </c>
      <c r="F17" s="9" t="str">
        <f aca="false">RIGHT(C17,1)</f>
        <v>0</v>
      </c>
      <c r="G17" s="9" t="n">
        <f aca="false">IF(H17="-",0,1)</f>
        <v>1</v>
      </c>
      <c r="H17" s="9" t="str">
        <f aca="false">INDEX(L16:O16,1,BIN2DEC(E17)+1)</f>
        <v>100</v>
      </c>
      <c r="I17" s="9" t="str">
        <f aca="false">IF(AND(G17=1,H17=D17),"ACERTO","FALTA")</f>
        <v>FALTA</v>
      </c>
      <c r="J17" s="9" t="str">
        <f aca="false">IF(I17="ACERTO","",IF(G17=0,"compulsoria","conflito"))</f>
        <v>conflito</v>
      </c>
      <c r="K17" s="9" t="str">
        <f aca="false">D17</f>
        <v>000</v>
      </c>
      <c r="L17" s="9" t="str">
        <f aca="false">IF($E17="00",$K17,L16)</f>
        <v>000</v>
      </c>
      <c r="M17" s="9" t="str">
        <f aca="false">IF($E17="01",$K17,M16)</f>
        <v>000</v>
      </c>
      <c r="N17" s="9" t="str">
        <f aca="false">IF($E17="10",$K17,N16)</f>
        <v>000</v>
      </c>
      <c r="O17" s="9" t="str">
        <f aca="false">IF($E17="11",$K17,O16)</f>
        <v>000</v>
      </c>
    </row>
    <row r="18" customFormat="false" ht="15" hidden="false" customHeight="false" outlineLevel="0" collapsed="false">
      <c r="A18" s="9" t="n">
        <v>16</v>
      </c>
      <c r="B18" s="10" t="s">
        <v>38</v>
      </c>
      <c r="C18" s="9" t="str">
        <f aca="false">DEC2BIN(HEX2DEC(MID(B18,3,2)),6)</f>
        <v>000011</v>
      </c>
      <c r="D18" s="9" t="str">
        <f aca="false">LEFT(C18,3)</f>
        <v>000</v>
      </c>
      <c r="E18" s="9" t="str">
        <f aca="false">MID(C18,4,2)</f>
        <v>01</v>
      </c>
      <c r="F18" s="9" t="str">
        <f aca="false">RIGHT(C18,1)</f>
        <v>1</v>
      </c>
      <c r="G18" s="9" t="n">
        <f aca="false">IF(H18="-",0,1)</f>
        <v>1</v>
      </c>
      <c r="H18" s="9" t="str">
        <f aca="false">INDEX(L17:O17,1,BIN2DEC(E18)+1)</f>
        <v>000</v>
      </c>
      <c r="I18" s="9" t="str">
        <f aca="false">IF(AND(G18=1,H18=D18),"ACERTO","FALTA")</f>
        <v>ACERTO</v>
      </c>
      <c r="J18" s="9" t="str">
        <f aca="false">IF(I18="ACERTO","",IF(G18=0,"compulsoria","conflito"))</f>
        <v/>
      </c>
      <c r="K18" s="9" t="str">
        <f aca="false">D18</f>
        <v>000</v>
      </c>
      <c r="L18" s="9" t="str">
        <f aca="false">IF($E18="00",$K18,L17)</f>
        <v>000</v>
      </c>
      <c r="M18" s="9" t="str">
        <f aca="false">IF($E18="01",$K18,M17)</f>
        <v>000</v>
      </c>
      <c r="N18" s="9" t="str">
        <f aca="false">IF($E18="10",$K18,N17)</f>
        <v>000</v>
      </c>
      <c r="O18" s="9" t="str">
        <f aca="false">IF($E18="11",$K18,O17)</f>
        <v>000</v>
      </c>
    </row>
    <row r="20" customFormat="false" ht="15" hidden="false" customHeight="false" outlineLevel="0" collapsed="false">
      <c r="A20" s="1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O3" activeCellId="0" sqref="O3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4"/>
    <col collapsed="false" customWidth="true" hidden="false" outlineLevel="0" max="5" min="4" style="1" width="9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1"/>
    <col collapsed="false" customWidth="true" hidden="false" outlineLevel="0" max="11" min="10" style="1" width="14"/>
    <col collapsed="false" customWidth="true" hidden="false" outlineLevel="0" max="15" min="12" style="1" width="6"/>
  </cols>
  <sheetData>
    <row r="1" customFormat="false" ht="15" hidden="false" customHeight="fals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7" t="s">
        <v>28</v>
      </c>
      <c r="M1" s="7" t="s">
        <v>29</v>
      </c>
      <c r="N1" s="7" t="s">
        <v>30</v>
      </c>
      <c r="O1" s="7" t="s">
        <v>31</v>
      </c>
    </row>
    <row r="2" customFormat="false" ht="15" hidden="false" customHeight="false" outlineLevel="0" collapsed="false">
      <c r="A2" s="8" t="s">
        <v>32</v>
      </c>
      <c r="B2" s="8" t="s">
        <v>33</v>
      </c>
      <c r="C2" s="8"/>
      <c r="D2" s="8"/>
      <c r="E2" s="8"/>
      <c r="F2" s="8"/>
      <c r="G2" s="8"/>
      <c r="H2" s="8"/>
      <c r="I2" s="8"/>
      <c r="J2" s="8"/>
      <c r="K2" s="8"/>
      <c r="L2" s="8" t="s">
        <v>34</v>
      </c>
      <c r="M2" s="8" t="s">
        <v>34</v>
      </c>
      <c r="N2" s="8" t="s">
        <v>34</v>
      </c>
      <c r="O2" s="8" t="s">
        <v>34</v>
      </c>
    </row>
    <row r="3" customFormat="false" ht="15" hidden="false" customHeight="false" outlineLevel="0" collapsed="false">
      <c r="A3" s="9" t="n">
        <v>1</v>
      </c>
      <c r="B3" s="10" t="s">
        <v>48</v>
      </c>
      <c r="C3" s="12" t="str">
        <f aca="false">DEC2BIN(HEX2DEC(MID(B3,3,2)),6)</f>
        <v>010000</v>
      </c>
      <c r="D3" s="12" t="str">
        <f aca="false">LEFT(C3,3)</f>
        <v>010</v>
      </c>
      <c r="E3" s="13" t="str">
        <f aca="false">MID(C3,4,2)</f>
        <v>00</v>
      </c>
      <c r="F3" s="12" t="str">
        <f aca="false">RIGHT(C3,1)</f>
        <v>0</v>
      </c>
      <c r="G3" s="12" t="n">
        <f aca="false">IF(H3="-",0,1)</f>
        <v>0</v>
      </c>
      <c r="H3" s="12" t="str">
        <f aca="false">INDEX(L2:O2,1,BIN2DEC(E3)+1)</f>
        <v>-</v>
      </c>
      <c r="I3" s="12" t="str">
        <f aca="false">IF(AND(G3=1,H3=D3),"ACERTO","FALTA")</f>
        <v>FALTA</v>
      </c>
      <c r="J3" s="12" t="str">
        <f aca="false">IF(I3="ACERTO","",IF(G3=0,"compulsoria","conflito"))</f>
        <v>compulsoria</v>
      </c>
      <c r="K3" s="12" t="str">
        <f aca="false">D3</f>
        <v>010</v>
      </c>
      <c r="L3" s="12" t="str">
        <f aca="false">IF($E3="00",$K3,L2)</f>
        <v>010</v>
      </c>
      <c r="M3" s="12" t="str">
        <f aca="false">IF($E3="01",$K3,M2)</f>
        <v>-</v>
      </c>
      <c r="N3" s="12" t="str">
        <f aca="false">IF($E3="10",$K3,N2)</f>
        <v>-</v>
      </c>
      <c r="O3" s="13" t="str">
        <f aca="false">IF($E3="11",$K3,O2)</f>
        <v>-</v>
      </c>
    </row>
    <row r="4" customFormat="false" ht="15" hidden="false" customHeight="false" outlineLevel="0" collapsed="false">
      <c r="A4" s="9" t="n">
        <v>2</v>
      </c>
      <c r="B4" s="10" t="s">
        <v>49</v>
      </c>
      <c r="C4" s="12" t="str">
        <f aca="false">DEC2BIN(HEX2DEC(MID(B4,3,2)),6)</f>
        <v>011000</v>
      </c>
      <c r="D4" s="12" t="str">
        <f aca="false">LEFT(C4,3)</f>
        <v>011</v>
      </c>
      <c r="E4" s="13" t="str">
        <f aca="false">MID(C4,4,2)</f>
        <v>00</v>
      </c>
      <c r="F4" s="12" t="str">
        <f aca="false">RIGHT(C4,1)</f>
        <v>0</v>
      </c>
      <c r="G4" s="12" t="n">
        <f aca="false">IF(H4="-",0,1)</f>
        <v>1</v>
      </c>
      <c r="H4" s="12" t="str">
        <f aca="false">INDEX(L3:O3,1,BIN2DEC(E4)+1)</f>
        <v>010</v>
      </c>
      <c r="I4" s="12" t="str">
        <f aca="false">IF(AND(G4=1,H4=D4),"ACERTO","FALTA")</f>
        <v>FALTA</v>
      </c>
      <c r="J4" s="12" t="str">
        <f aca="false">IF(I4="ACERTO","",IF(G4=0,"compulsoria","conflito"))</f>
        <v>conflito</v>
      </c>
      <c r="K4" s="12" t="str">
        <f aca="false">D4</f>
        <v>011</v>
      </c>
      <c r="L4" s="12" t="str">
        <f aca="false">IF($E4="00",$K4,L3)</f>
        <v>011</v>
      </c>
      <c r="M4" s="12" t="str">
        <f aca="false">IF($E4="01",$K4,M3)</f>
        <v>-</v>
      </c>
      <c r="N4" s="12" t="str">
        <f aca="false">IF($E4="10",$K4,N3)</f>
        <v>-</v>
      </c>
      <c r="O4" s="13" t="str">
        <f aca="false">IF($E4="11",$K4,O3)</f>
        <v>-</v>
      </c>
    </row>
    <row r="5" customFormat="false" ht="15" hidden="false" customHeight="false" outlineLevel="0" collapsed="false">
      <c r="A5" s="9" t="n">
        <v>3</v>
      </c>
      <c r="B5" s="10" t="s">
        <v>50</v>
      </c>
      <c r="C5" s="12" t="str">
        <f aca="false">DEC2BIN(HEX2DEC(MID(B5,3,2)),6)</f>
        <v>101000</v>
      </c>
      <c r="D5" s="12" t="str">
        <f aca="false">LEFT(C5,3)</f>
        <v>101</v>
      </c>
      <c r="E5" s="13" t="str">
        <f aca="false">MID(C5,4,2)</f>
        <v>00</v>
      </c>
      <c r="F5" s="12" t="str">
        <f aca="false">RIGHT(C5,1)</f>
        <v>0</v>
      </c>
      <c r="G5" s="12" t="n">
        <f aca="false">IF(H5="-",0,1)</f>
        <v>1</v>
      </c>
      <c r="H5" s="12" t="str">
        <f aca="false">INDEX(L4:O4,1,BIN2DEC(E5)+1)</f>
        <v>011</v>
      </c>
      <c r="I5" s="12" t="str">
        <f aca="false">IF(AND(G5=1,H5=D5),"ACERTO","FALTA")</f>
        <v>FALTA</v>
      </c>
      <c r="J5" s="12" t="str">
        <f aca="false">IF(I5="ACERTO","",IF(G5=0,"compulsoria","conflito"))</f>
        <v>conflito</v>
      </c>
      <c r="K5" s="12" t="str">
        <f aca="false">D5</f>
        <v>101</v>
      </c>
      <c r="L5" s="12" t="str">
        <f aca="false">IF($E5="00",$K5,L4)</f>
        <v>101</v>
      </c>
      <c r="M5" s="12" t="str">
        <f aca="false">IF($E5="01",$K5,M4)</f>
        <v>-</v>
      </c>
      <c r="N5" s="12" t="str">
        <f aca="false">IF($E5="10",$K5,N4)</f>
        <v>-</v>
      </c>
      <c r="O5" s="13" t="str">
        <f aca="false">IF($E5="11",$K5,O4)</f>
        <v>-</v>
      </c>
    </row>
    <row r="6" customFormat="false" ht="15" hidden="false" customHeight="false" outlineLevel="0" collapsed="false">
      <c r="A6" s="9" t="n">
        <v>4</v>
      </c>
      <c r="B6" s="10" t="s">
        <v>51</v>
      </c>
      <c r="C6" s="12" t="str">
        <f aca="false">DEC2BIN(HEX2DEC(MID(B6,3,2)),6)</f>
        <v>111000</v>
      </c>
      <c r="D6" s="12" t="str">
        <f aca="false">LEFT(C6,3)</f>
        <v>111</v>
      </c>
      <c r="E6" s="13" t="str">
        <f aca="false">MID(C6,4,2)</f>
        <v>00</v>
      </c>
      <c r="F6" s="12" t="str">
        <f aca="false">RIGHT(C6,1)</f>
        <v>0</v>
      </c>
      <c r="G6" s="12" t="n">
        <f aca="false">IF(H6="-",0,1)</f>
        <v>1</v>
      </c>
      <c r="H6" s="12" t="str">
        <f aca="false">INDEX(L5:O5,1,BIN2DEC(E6)+1)</f>
        <v>101</v>
      </c>
      <c r="I6" s="12" t="str">
        <f aca="false">IF(AND(G6=1,H6=D6),"ACERTO","FALTA")</f>
        <v>FALTA</v>
      </c>
      <c r="J6" s="12" t="str">
        <f aca="false">IF(I6="ACERTO","",IF(G6=0,"compulsoria","conflito"))</f>
        <v>conflito</v>
      </c>
      <c r="K6" s="12" t="str">
        <f aca="false">D6</f>
        <v>111</v>
      </c>
      <c r="L6" s="12" t="str">
        <f aca="false">IF($E6="00",$K6,L5)</f>
        <v>111</v>
      </c>
      <c r="M6" s="12" t="str">
        <f aca="false">IF($E6="01",$K6,M5)</f>
        <v>-</v>
      </c>
      <c r="N6" s="12" t="str">
        <f aca="false">IF($E6="10",$K6,N5)</f>
        <v>-</v>
      </c>
      <c r="O6" s="13" t="str">
        <f aca="false">IF($E6="11",$K6,O5)</f>
        <v>-</v>
      </c>
    </row>
    <row r="8" customFormat="false" ht="15" hidden="false" customHeight="false" outlineLevel="0" collapsed="false">
      <c r="A8" s="1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6"/>
    <col collapsed="false" customWidth="true" hidden="false" outlineLevel="0" max="4" min="4" style="1" width="52"/>
  </cols>
  <sheetData>
    <row r="1" customFormat="false" ht="24.65" hidden="false" customHeight="false" outlineLevel="0" collapsed="false">
      <c r="A1" s="6" t="s">
        <v>52</v>
      </c>
      <c r="B1" s="6"/>
      <c r="C1" s="6"/>
      <c r="D1" s="6"/>
    </row>
    <row r="2" customFormat="false" ht="15" hidden="false" customHeight="false" outlineLevel="0" collapsed="false">
      <c r="A2" s="4" t="s">
        <v>53</v>
      </c>
      <c r="B2" s="14" t="s">
        <v>54</v>
      </c>
      <c r="D2" s="11" t="s">
        <v>55</v>
      </c>
    </row>
    <row r="3" customFormat="false" ht="15" hidden="false" customHeight="false" outlineLevel="0" collapsed="false">
      <c r="A3" s="4" t="s">
        <v>56</v>
      </c>
      <c r="B3" s="14" t="n">
        <v>4</v>
      </c>
      <c r="D3" s="11" t="s">
        <v>55</v>
      </c>
    </row>
    <row r="4" customFormat="false" ht="15" hidden="false" customHeight="false" outlineLevel="0" collapsed="false">
      <c r="A4" s="4" t="s">
        <v>57</v>
      </c>
      <c r="B4" s="14" t="n">
        <v>2</v>
      </c>
      <c r="D4" s="11" t="s">
        <v>55</v>
      </c>
    </row>
    <row r="5" customFormat="false" ht="15" hidden="false" customHeight="false" outlineLevel="0" collapsed="false">
      <c r="A5" s="4" t="s">
        <v>58</v>
      </c>
      <c r="B5" s="14" t="s">
        <v>59</v>
      </c>
      <c r="D5" s="11" t="s">
        <v>60</v>
      </c>
    </row>
    <row r="6" customFormat="false" ht="15" hidden="false" customHeight="false" outlineLevel="0" collapsed="false">
      <c r="A6" s="4" t="s">
        <v>61</v>
      </c>
      <c r="B6" s="14" t="s">
        <v>62</v>
      </c>
      <c r="D6" s="11" t="s">
        <v>63</v>
      </c>
    </row>
    <row r="7" customFormat="false" ht="15" hidden="false" customHeight="false" outlineLevel="0" collapsed="false">
      <c r="A7" s="4" t="s">
        <v>64</v>
      </c>
      <c r="B7" s="14" t="n">
        <v>1</v>
      </c>
      <c r="D7" s="11" t="s">
        <v>55</v>
      </c>
    </row>
    <row r="8" customFormat="false" ht="15" hidden="false" customHeight="false" outlineLevel="0" collapsed="false">
      <c r="A8" s="4" t="s">
        <v>65</v>
      </c>
      <c r="B8" s="14" t="n">
        <v>8</v>
      </c>
      <c r="D8" s="11" t="s">
        <v>55</v>
      </c>
    </row>
    <row r="10" customFormat="false" ht="15" hidden="false" customHeight="false" outlineLevel="0" collapsed="false">
      <c r="A10" s="6" t="s">
        <v>66</v>
      </c>
      <c r="B10" s="6"/>
      <c r="C10" s="6"/>
      <c r="D10" s="6"/>
    </row>
    <row r="11" customFormat="false" ht="15" hidden="false" customHeight="false" outlineLevel="0" collapsed="false">
      <c r="A11" s="4" t="s">
        <v>67</v>
      </c>
      <c r="B11" s="15" t="n">
        <f aca="false">COUNTA('Traço Principal'!A2:A17)</f>
        <v>16</v>
      </c>
    </row>
    <row r="12" customFormat="false" ht="15" hidden="false" customHeight="false" outlineLevel="0" collapsed="false">
      <c r="A12" s="4" t="s">
        <v>68</v>
      </c>
      <c r="B12" s="15" t="n">
        <f aca="false">COUNTIF('Traço Principal'!I2:I17,"ACERTO")</f>
        <v>7</v>
      </c>
    </row>
    <row r="13" customFormat="false" ht="15" hidden="false" customHeight="false" outlineLevel="0" collapsed="false">
      <c r="A13" s="4" t="s">
        <v>69</v>
      </c>
      <c r="B13" s="15" t="n">
        <f aca="false">COUNTIF('Traço Principal'!I2:I17,"FALTA")</f>
        <v>8</v>
      </c>
    </row>
    <row r="14" customFormat="false" ht="15" hidden="false" customHeight="false" outlineLevel="0" collapsed="false">
      <c r="A14" s="4" t="s">
        <v>70</v>
      </c>
      <c r="B14" s="15" t="n">
        <f aca="false">COUNTIF('Traço Principal'!J2:J17,"conflito")</f>
        <v>4</v>
      </c>
    </row>
    <row r="15" customFormat="false" ht="15" hidden="false" customHeight="false" outlineLevel="0" collapsed="false">
      <c r="A15" s="4" t="s">
        <v>71</v>
      </c>
      <c r="B15" s="16" t="n">
        <f aca="false">B13/B11</f>
        <v>0.5</v>
      </c>
    </row>
    <row r="16" customFormat="false" ht="15" hidden="false" customHeight="false" outlineLevel="0" collapsed="false">
      <c r="A16" s="4" t="s">
        <v>72</v>
      </c>
      <c r="B16" s="17" t="n">
        <f aca="false">B13/B11</f>
        <v>0.5</v>
      </c>
      <c r="D16" s="11" t="s">
        <v>73</v>
      </c>
    </row>
    <row r="17" customFormat="false" ht="15" hidden="false" customHeight="false" outlineLevel="0" collapsed="false">
      <c r="A17" s="4" t="s">
        <v>74</v>
      </c>
      <c r="B17" s="17" t="n">
        <f aca="false">B13/B11</f>
        <v>0.5</v>
      </c>
    </row>
    <row r="18" customFormat="false" ht="15" hidden="false" customHeight="false" outlineLevel="0" collapsed="false">
      <c r="A18" s="4" t="s">
        <v>75</v>
      </c>
      <c r="B18" s="16" t="n">
        <f aca="false">$B$7+(B17*$B$8)</f>
        <v>5</v>
      </c>
      <c r="D18" s="11" t="s">
        <v>76</v>
      </c>
    </row>
    <row r="21" customFormat="false" ht="15" hidden="false" customHeight="false" outlineLevel="0" collapsed="false">
      <c r="A21" s="6" t="s">
        <v>77</v>
      </c>
      <c r="B21" s="6"/>
      <c r="C21" s="6"/>
      <c r="D21" s="6"/>
    </row>
    <row r="22" customFormat="false" ht="15" hidden="false" customHeight="false" outlineLevel="0" collapsed="false">
      <c r="A22" s="4" t="s">
        <v>67</v>
      </c>
      <c r="B22" s="15" t="n">
        <f aca="false">COUNTA('Teste de Conflito'!A2:A5)</f>
        <v>4</v>
      </c>
    </row>
    <row r="23" customFormat="false" ht="15" hidden="false" customHeight="false" outlineLevel="0" collapsed="false">
      <c r="A23" s="4" t="s">
        <v>68</v>
      </c>
      <c r="B23" s="15" t="n">
        <f aca="false">COUNTA('Teste de Conflito'!A2:A5)</f>
        <v>4</v>
      </c>
    </row>
    <row r="24" customFormat="false" ht="15" hidden="false" customHeight="false" outlineLevel="0" collapsed="false">
      <c r="A24" s="4" t="s">
        <v>69</v>
      </c>
      <c r="B24" s="15" t="n">
        <f aca="false">COUNTIF('Teste de Conflito'!I2:I5,"FALTA")</f>
        <v>3</v>
      </c>
    </row>
    <row r="25" customFormat="false" ht="15" hidden="false" customHeight="false" outlineLevel="0" collapsed="false">
      <c r="A25" s="4" t="s">
        <v>70</v>
      </c>
      <c r="B25" s="15" t="n">
        <f aca="false">COUNTIF('Teste de Conflito'!J2:J5,"compulsória")</f>
        <v>0</v>
      </c>
    </row>
    <row r="26" customFormat="false" ht="15" hidden="false" customHeight="false" outlineLevel="0" collapsed="false">
      <c r="A26" s="4" t="s">
        <v>71</v>
      </c>
      <c r="B26" s="15" t="n">
        <f aca="false">COUNTIF('Teste de Conflito'!J2:J5,"conflito")</f>
        <v>2</v>
      </c>
    </row>
    <row r="27" customFormat="false" ht="15" hidden="false" customHeight="false" outlineLevel="0" collapsed="false">
      <c r="A27" s="4" t="s">
        <v>72</v>
      </c>
      <c r="B27" s="17" t="n">
        <f aca="false">B23/B22</f>
        <v>1</v>
      </c>
      <c r="D27" s="11" t="s">
        <v>73</v>
      </c>
    </row>
    <row r="28" customFormat="false" ht="15" hidden="false" customHeight="false" outlineLevel="0" collapsed="false">
      <c r="A28" s="4" t="s">
        <v>74</v>
      </c>
      <c r="B28" s="17" t="n">
        <f aca="false">B24/B22</f>
        <v>0.75</v>
      </c>
    </row>
    <row r="29" customFormat="false" ht="15" hidden="false" customHeight="false" outlineLevel="0" collapsed="false">
      <c r="A29" s="4" t="s">
        <v>75</v>
      </c>
      <c r="B29" s="16" t="n">
        <f aca="false">$B$7+(B28*$B$8)</f>
        <v>7</v>
      </c>
      <c r="D29" s="11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2026-09-07T16:41:39Z</dcterms:created>
  <dc:creator>openpyxl</dc:creator>
  <dc:description/>
  <dc:language>en-US</dc:language>
  <cp:lastModifiedBy/>
  <dcterms:modified xsi:type="dcterms:W3CDTF">2026-10-01T00:57:09Z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